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/>
  <bookViews>
    <workbookView xWindow="-105" yWindow="-105" windowWidth="20730" windowHeight="11760"/>
  </bookViews>
  <sheets>
    <sheet name="Plan1" sheetId="1" r:id="rId1"/>
    <sheet name="Plan2" sheetId="2" r:id="rId2"/>
  </sheets>
  <definedNames>
    <definedName name="condi">Plan1!$K$26:$K$32</definedName>
    <definedName name="depen">Plan1!$J$26:$J$32</definedName>
    <definedName name="DEPENDENTE">Plan1!$G$39</definedName>
    <definedName name="enquadram">Plan1!$H$26:$H$36</definedName>
    <definedName name="FORMAL">Plan1!#REF!</definedName>
    <definedName name="redutor">Plan1!$J$35:$J$36</definedName>
    <definedName name="RENDA">Plan2!$A$1:$A$3</definedName>
    <definedName name="renda1">Plan1!$J$20:$J$24</definedName>
    <definedName name="Tabela">Plan1!$G$35</definedName>
    <definedName name="TABELA2">Plan1!$H$20:$H$23</definedName>
  </definedNames>
  <calcPr calcId="145621"/>
</workbook>
</file>

<file path=xl/calcChain.xml><?xml version="1.0" encoding="utf-8"?>
<calcChain xmlns="http://schemas.openxmlformats.org/spreadsheetml/2006/main">
  <c r="F27" i="1" l="1"/>
  <c r="C33" i="1" l="1"/>
  <c r="F23" i="1"/>
  <c r="C26" i="1" l="1"/>
</calcChain>
</file>

<file path=xl/sharedStrings.xml><?xml version="1.0" encoding="utf-8"?>
<sst xmlns="http://schemas.openxmlformats.org/spreadsheetml/2006/main" count="117" uniqueCount="98">
  <si>
    <t>FORMAL</t>
  </si>
  <si>
    <t>INFORMAL</t>
  </si>
  <si>
    <t>MISTA</t>
  </si>
  <si>
    <t>SAC</t>
  </si>
  <si>
    <t>PRICE</t>
  </si>
  <si>
    <t>sim</t>
  </si>
  <si>
    <t>não</t>
  </si>
  <si>
    <t>Sim</t>
  </si>
  <si>
    <t>Não</t>
  </si>
  <si>
    <t>MCMV- Faixa 1,5</t>
  </si>
  <si>
    <t>MCMV- Faixa 2</t>
  </si>
  <si>
    <t>CFGTS</t>
  </si>
  <si>
    <t>MCMV- Faixa 3</t>
  </si>
  <si>
    <t>TR</t>
  </si>
  <si>
    <t>IPCA</t>
  </si>
  <si>
    <t xml:space="preserve">SBPE </t>
  </si>
  <si>
    <t>SIM</t>
  </si>
  <si>
    <t>NÃO</t>
  </si>
  <si>
    <t>Redutor</t>
  </si>
  <si>
    <t>1º Proponente</t>
  </si>
  <si>
    <t>2º Proponente</t>
  </si>
  <si>
    <t>Ambos</t>
  </si>
  <si>
    <t>Nenhum</t>
  </si>
  <si>
    <t>SBPE POUPANÇA</t>
  </si>
  <si>
    <t>HABITE SEGURO - SBPE</t>
  </si>
  <si>
    <t>HABITE SEGURO PCVA</t>
  </si>
  <si>
    <t>PRO COTISTA</t>
  </si>
  <si>
    <t>Profissão 1º Proponente</t>
  </si>
  <si>
    <t>Profissão 2º Proponente</t>
  </si>
  <si>
    <t>EMPREENDIMENTO:</t>
  </si>
  <si>
    <t>DADOS DO PROPONENTE</t>
  </si>
  <si>
    <t>DATA DE NASCIMENTO:</t>
  </si>
  <si>
    <t>NOME 1º PROPONENTE:</t>
  </si>
  <si>
    <t>NOME 2º PROPONENTE:</t>
  </si>
  <si>
    <t xml:space="preserve">PARECER ANÁLISE </t>
  </si>
  <si>
    <t>RESULTADO DA ANÁLISE</t>
  </si>
  <si>
    <t>APROVADO</t>
  </si>
  <si>
    <t>APROVADO C/ PENDÊNCIA</t>
  </si>
  <si>
    <t>FINANCIAMENTO:</t>
  </si>
  <si>
    <t>SUBSÍDIO:</t>
  </si>
  <si>
    <t>FGTS TOTAL:</t>
  </si>
  <si>
    <t>PRAZO</t>
  </si>
  <si>
    <t>TABELA:</t>
  </si>
  <si>
    <t xml:space="preserve">TOTAL VALORES: </t>
  </si>
  <si>
    <t>VALOR AVALIAÇÃO:</t>
  </si>
  <si>
    <t xml:space="preserve">VALORES E CONDIÇÕES APROVADAS </t>
  </si>
  <si>
    <t>ENQUADRAMENTO/FAIXA</t>
  </si>
  <si>
    <t>MESES</t>
  </si>
  <si>
    <t>1ª PRESTAÇÃO:</t>
  </si>
  <si>
    <t>COTA FINANCIAMENTO</t>
  </si>
  <si>
    <t>NOVO</t>
  </si>
  <si>
    <t>USADO</t>
  </si>
  <si>
    <t>PLANTA</t>
  </si>
  <si>
    <t>IDEXADOR:</t>
  </si>
  <si>
    <t>TIPO DE RENDA</t>
  </si>
  <si>
    <t>RENDA TOTAL APURADA</t>
  </si>
  <si>
    <t>DEPENDENTE:</t>
  </si>
  <si>
    <t>COTISTA:</t>
  </si>
  <si>
    <t>DATA AVALIAÇÃO:</t>
  </si>
  <si>
    <t>VALIDADE AVALIAÇÃO:</t>
  </si>
  <si>
    <t>OBSERVAÇÕES/INFORMAÇÕES SETOR DE VENDAS</t>
  </si>
  <si>
    <t>OBSERVAÇÕES/INFORMAÇÕES SETOR DE CRÉDITO</t>
  </si>
  <si>
    <t>Declara IRPF</t>
  </si>
  <si>
    <t>Usando FGTS</t>
  </si>
  <si>
    <t>JUROS EFETIVOS (a.a):</t>
  </si>
  <si>
    <t>CPF 1º PROPONENTE:</t>
  </si>
  <si>
    <t>CPF 2º PROPONENTE</t>
  </si>
  <si>
    <t>PARCELA SIRIC:</t>
  </si>
  <si>
    <t>COTA SIRIC</t>
  </si>
  <si>
    <t>COORDENADOR</t>
  </si>
  <si>
    <t xml:space="preserve">DAVID ARAUJO FERNANDES DOS SANTOS
</t>
  </si>
  <si>
    <t xml:space="preserve">127.390.587-30
</t>
  </si>
  <si>
    <t>MARCIA SANTOS BATALHA</t>
  </si>
  <si>
    <t>108.298.047-14</t>
  </si>
  <si>
    <t>BELFORD ROXO</t>
  </si>
  <si>
    <t>SÃO GONÇALO</t>
  </si>
  <si>
    <t>NITERÓI</t>
  </si>
  <si>
    <t>NILÓPOLIS</t>
  </si>
  <si>
    <t>NOVA IGUAÇU</t>
  </si>
  <si>
    <t>QUEIMADOS</t>
  </si>
  <si>
    <t>RIO DE JANEIRO</t>
  </si>
  <si>
    <t>DUQUE DE CAXIAS</t>
  </si>
  <si>
    <t>MESQUITA</t>
  </si>
  <si>
    <t>SEM INFORMAÇÕES</t>
  </si>
  <si>
    <t>JERONIMO DA VEIGA</t>
  </si>
  <si>
    <t>MUNICÍPIO DO IMOVEL:</t>
  </si>
  <si>
    <t>MODALIDADE IMÓVEL</t>
  </si>
  <si>
    <t>CONSTRUTORA/PARCEIRO</t>
  </si>
  <si>
    <t>DUO LONDON</t>
  </si>
  <si>
    <t>AV. CONDICIONADA MARGEM</t>
  </si>
  <si>
    <t>AV CONDICIONADA SCR BACEN</t>
  </si>
  <si>
    <t xml:space="preserve">REPROVADO </t>
  </si>
  <si>
    <t>LAUDO DE ANÁLISE</t>
  </si>
  <si>
    <t>Faixa 1 - (Renda até 3.200,00)</t>
  </si>
  <si>
    <t>Faixa 2  (Renda de 3.200,01 a 5000,00)</t>
  </si>
  <si>
    <t>Faixa 4 (Renda de 9.600,01 a 13.000,00)</t>
  </si>
  <si>
    <t>Faixa 3 (Renda de 5.000,01 a 9.600,00)</t>
  </si>
  <si>
    <r>
      <t>M</t>
    </r>
    <r>
      <rPr>
        <i/>
        <sz val="12"/>
        <color rgb="FFFFC000"/>
        <rFont val="Arial"/>
        <family val="2"/>
      </rPr>
      <t>D</t>
    </r>
    <r>
      <rPr>
        <i/>
        <sz val="12"/>
        <color theme="0"/>
        <rFont val="Arial"/>
        <family val="2"/>
      </rPr>
      <t>S CREDITO IMOBILIÁRIO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</si>
</sst>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0\%"/>
    <numFmt numFmtId="166" formatCode="dd/mm/yy;@"/>
    <numFmt numFmtId="167" formatCode="0.00\%"/>
  </numFmts>
  <fonts count="2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0"/>
      <name val="Arial"/>
      <family val="2"/>
    </font>
    <font>
      <i/>
      <sz val="12"/>
      <color rgb="FFFFC000"/>
      <name val="Arial"/>
      <family val="2"/>
    </font>
    <font>
      <b/>
      <sz val="12"/>
      <color rgb="FF92D05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0" borderId="0" xfId="1"/>
    <xf numFmtId="0" fontId="1" fillId="2" borderId="1" xfId="0" applyFont="1" applyFill="1" applyBorder="1" applyAlignment="1">
      <alignment horizontal="center" vertical="center" wrapText="1"/>
    </xf>
    <xf numFmtId="44" fontId="11" fillId="3" borderId="8" xfId="0" applyNumberFormat="1" applyFont="1" applyFill="1" applyBorder="1" applyAlignment="1">
      <alignment horizontal="center" vertical="center" wrapText="1"/>
    </xf>
    <xf numFmtId="44" fontId="14" fillId="2" borderId="8" xfId="0" applyNumberFormat="1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44" fontId="11" fillId="3" borderId="23" xfId="0" applyNumberFormat="1" applyFont="1" applyFill="1" applyBorder="1" applyAlignment="1">
      <alignment horizontal="center" vertical="center" wrapText="1"/>
    </xf>
    <xf numFmtId="0" fontId="1" fillId="0" borderId="0" xfId="0" applyFont="1"/>
    <xf numFmtId="44" fontId="12" fillId="3" borderId="24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44" fontId="1" fillId="3" borderId="8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4" fontId="1" fillId="2" borderId="8" xfId="0" applyNumberFormat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4" fontId="1" fillId="2" borderId="28" xfId="0" applyNumberFormat="1" applyFont="1" applyFill="1" applyBorder="1" applyAlignment="1">
      <alignment horizontal="center" vertical="center"/>
    </xf>
    <xf numFmtId="44" fontId="1" fillId="3" borderId="23" xfId="0" applyNumberFormat="1" applyFont="1" applyFill="1" applyBorder="1" applyAlignment="1">
      <alignment horizontal="center" vertical="center" wrapText="1"/>
    </xf>
    <xf numFmtId="44" fontId="12" fillId="3" borderId="19" xfId="0" applyNumberFormat="1" applyFont="1" applyFill="1" applyBorder="1" applyAlignment="1">
      <alignment vertical="center" wrapText="1"/>
    </xf>
    <xf numFmtId="44" fontId="1" fillId="3" borderId="5" xfId="0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1" fillId="3" borderId="2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6" fontId="9" fillId="2" borderId="8" xfId="0" applyNumberFormat="1" applyFont="1" applyFill="1" applyBorder="1" applyAlignment="1">
      <alignment horizontal="center" vertical="center" wrapText="1"/>
    </xf>
    <xf numFmtId="166" fontId="9" fillId="2" borderId="2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7" fontId="1" fillId="2" borderId="23" xfId="0" applyNumberFormat="1" applyFont="1" applyFill="1" applyBorder="1" applyAlignment="1">
      <alignment horizontal="center" vertical="center" wrapText="1"/>
    </xf>
    <xf numFmtId="167" fontId="1" fillId="2" borderId="28" xfId="0" applyNumberFormat="1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44" fontId="15" fillId="4" borderId="33" xfId="0" applyNumberFormat="1" applyFont="1" applyFill="1" applyBorder="1" applyAlignment="1">
      <alignment horizontal="center" vertical="center" wrapText="1"/>
    </xf>
    <xf numFmtId="44" fontId="15" fillId="4" borderId="34" xfId="0" applyNumberFormat="1" applyFont="1" applyFill="1" applyBorder="1" applyAlignment="1">
      <alignment horizontal="center" vertical="center" wrapText="1"/>
    </xf>
    <xf numFmtId="44" fontId="3" fillId="2" borderId="24" xfId="0" applyNumberFormat="1" applyFont="1" applyFill="1" applyBorder="1" applyAlignment="1">
      <alignment horizontal="center" vertical="center" wrapText="1"/>
    </xf>
    <xf numFmtId="44" fontId="3" fillId="2" borderId="0" xfId="0" applyNumberFormat="1" applyFont="1" applyFill="1" applyBorder="1" applyAlignment="1">
      <alignment horizontal="center" vertical="center" wrapText="1"/>
    </xf>
    <xf numFmtId="44" fontId="1" fillId="2" borderId="25" xfId="0" applyNumberFormat="1" applyFont="1" applyFill="1" applyBorder="1" applyAlignment="1">
      <alignment horizontal="center" vertical="center" wrapText="1"/>
    </xf>
    <xf numFmtId="44" fontId="1" fillId="2" borderId="12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49" fontId="1" fillId="2" borderId="22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30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5" fontId="1" fillId="2" borderId="25" xfId="0" applyNumberFormat="1" applyFont="1" applyFill="1" applyBorder="1" applyAlignment="1">
      <alignment horizontal="center" vertical="center" wrapText="1"/>
    </xf>
    <xf numFmtId="165" fontId="1" fillId="2" borderId="12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top" wrapText="1"/>
    </xf>
    <xf numFmtId="0" fontId="11" fillId="3" borderId="19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0" fontId="18" fillId="5" borderId="27" xfId="0" applyFont="1" applyFill="1" applyBorder="1" applyAlignment="1">
      <alignment horizontal="center"/>
    </xf>
    <xf numFmtId="0" fontId="16" fillId="2" borderId="16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5" fillId="6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44" fontId="11" fillId="6" borderId="19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460856</xdr:colOff>
      <xdr:row>4</xdr:row>
      <xdr:rowOff>123825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6281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T43"/>
  <sheetViews>
    <sheetView showGridLines="0" tabSelected="1" workbookViewId="0">
      <selection activeCell="Z10" sqref="Z9:Z10"/>
    </sheetView>
  </sheetViews>
  <sheetFormatPr defaultRowHeight="15" x14ac:dyDescent="0.25"/>
  <cols>
    <col min="1" max="1" width="1.7109375" customWidth="1"/>
    <col min="2" max="2" width="20.7109375" bestFit="1" customWidth="1"/>
    <col min="3" max="3" width="15.5703125" customWidth="1"/>
    <col min="4" max="4" width="0.85546875" customWidth="1"/>
    <col min="5" max="5" width="21.7109375" customWidth="1"/>
    <col min="6" max="6" width="16.28515625" customWidth="1"/>
    <col min="7" max="7" width="13.5703125" customWidth="1"/>
    <col min="8" max="8" width="15.7109375" hidden="1" customWidth="1"/>
    <col min="9" max="9" width="9.140625" hidden="1" customWidth="1"/>
    <col min="10" max="10" width="10.42578125" hidden="1" customWidth="1"/>
    <col min="11" max="13" width="9.140625" hidden="1" customWidth="1"/>
    <col min="14" max="14" width="6.5703125" hidden="1" customWidth="1"/>
    <col min="15" max="20" width="9.140625" hidden="1" customWidth="1"/>
    <col min="21" max="23" width="0" hidden="1" customWidth="1"/>
    <col min="24" max="24" width="6.5703125" customWidth="1"/>
  </cols>
  <sheetData>
    <row r="1" spans="1:14" ht="6.75" customHeight="1" thickBot="1" x14ac:dyDescent="0.3"/>
    <row r="2" spans="1:14" ht="79.5" customHeight="1" thickBot="1" x14ac:dyDescent="0.3">
      <c r="A2" s="1"/>
      <c r="B2" s="111" t="s">
        <v>92</v>
      </c>
      <c r="C2" s="112"/>
      <c r="D2" s="112"/>
      <c r="E2" s="112"/>
      <c r="F2" s="112"/>
      <c r="G2" s="113"/>
      <c r="N2" s="3"/>
    </row>
    <row r="3" spans="1:14" ht="21.75" customHeight="1" thickBot="1" x14ac:dyDescent="0.3">
      <c r="A3" s="1"/>
      <c r="B3" s="95" t="s">
        <v>87</v>
      </c>
      <c r="C3" s="96"/>
      <c r="D3" s="97"/>
      <c r="E3" s="95" t="s">
        <v>84</v>
      </c>
      <c r="F3" s="96"/>
      <c r="G3" s="97"/>
      <c r="N3" s="3"/>
    </row>
    <row r="4" spans="1:14" ht="2.25" customHeight="1" thickBot="1" x14ac:dyDescent="0.3">
      <c r="A4" s="1"/>
      <c r="B4" s="33"/>
      <c r="C4" s="34"/>
      <c r="D4" s="35"/>
      <c r="E4" s="34"/>
      <c r="F4" s="34"/>
      <c r="G4" s="35"/>
      <c r="N4" s="3"/>
    </row>
    <row r="5" spans="1:14" ht="21" customHeight="1" thickBot="1" x14ac:dyDescent="0.3">
      <c r="A5" s="1"/>
      <c r="B5" s="88" t="s">
        <v>29</v>
      </c>
      <c r="C5" s="86"/>
      <c r="D5" s="87"/>
      <c r="E5" s="85" t="s">
        <v>88</v>
      </c>
      <c r="F5" s="86"/>
      <c r="G5" s="87"/>
      <c r="N5" s="3"/>
    </row>
    <row r="6" spans="1:14" ht="2.25" customHeight="1" thickBot="1" x14ac:dyDescent="0.3">
      <c r="A6" s="1"/>
      <c r="B6" s="33"/>
      <c r="C6" s="34"/>
      <c r="D6" s="35"/>
      <c r="E6" s="34"/>
      <c r="F6" s="34"/>
      <c r="G6" s="35"/>
      <c r="N6" s="3"/>
    </row>
    <row r="7" spans="1:14" ht="22.5" customHeight="1" thickBot="1" x14ac:dyDescent="0.3">
      <c r="A7" s="1"/>
      <c r="B7" s="38" t="s">
        <v>85</v>
      </c>
      <c r="C7" s="39"/>
      <c r="D7" s="40"/>
      <c r="E7" s="38" t="s">
        <v>83</v>
      </c>
      <c r="F7" s="39"/>
      <c r="G7" s="40"/>
    </row>
    <row r="8" spans="1:14" ht="2.25" customHeight="1" thickBot="1" x14ac:dyDescent="0.3">
      <c r="A8" s="1"/>
      <c r="B8" s="30"/>
      <c r="C8" s="31"/>
      <c r="D8" s="32"/>
      <c r="E8" s="30"/>
      <c r="F8" s="31"/>
      <c r="G8" s="32"/>
    </row>
    <row r="9" spans="1:14" ht="22.5" customHeight="1" thickBot="1" x14ac:dyDescent="0.3">
      <c r="A9" s="1"/>
      <c r="B9" s="38" t="s">
        <v>86</v>
      </c>
      <c r="C9" s="39"/>
      <c r="D9" s="40"/>
      <c r="E9" s="38" t="s">
        <v>52</v>
      </c>
      <c r="F9" s="39"/>
      <c r="G9" s="40"/>
    </row>
    <row r="10" spans="1:14" ht="16.149999999999999" customHeight="1" thickBot="1" x14ac:dyDescent="0.3">
      <c r="A10" s="1"/>
      <c r="B10" s="79" t="s">
        <v>30</v>
      </c>
      <c r="C10" s="80"/>
      <c r="D10" s="80"/>
      <c r="E10" s="80"/>
      <c r="F10" s="80"/>
      <c r="G10" s="81"/>
    </row>
    <row r="11" spans="1:14" ht="3" customHeight="1" x14ac:dyDescent="0.25">
      <c r="A11" s="1"/>
      <c r="B11" s="82"/>
      <c r="C11" s="83"/>
      <c r="D11" s="83"/>
      <c r="E11" s="83"/>
      <c r="F11" s="83"/>
      <c r="G11" s="84"/>
    </row>
    <row r="12" spans="1:14" ht="15" customHeight="1" x14ac:dyDescent="0.25">
      <c r="A12" s="1"/>
      <c r="B12" s="134" t="s">
        <v>32</v>
      </c>
      <c r="C12" s="92" t="s">
        <v>70</v>
      </c>
      <c r="D12" s="93"/>
      <c r="E12" s="94"/>
      <c r="F12" s="21" t="s">
        <v>31</v>
      </c>
      <c r="G12" s="22">
        <v>31951</v>
      </c>
    </row>
    <row r="13" spans="1:14" ht="17.45" customHeight="1" x14ac:dyDescent="0.25">
      <c r="A13" s="1"/>
      <c r="B13" s="134" t="s">
        <v>65</v>
      </c>
      <c r="C13" s="89" t="s">
        <v>71</v>
      </c>
      <c r="D13" s="90"/>
      <c r="E13" s="91"/>
      <c r="F13" s="75"/>
      <c r="G13" s="76"/>
    </row>
    <row r="14" spans="1:14" ht="17.45" customHeight="1" x14ac:dyDescent="0.25">
      <c r="A14" s="1"/>
      <c r="B14" s="134" t="s">
        <v>33</v>
      </c>
      <c r="C14" s="89" t="s">
        <v>72</v>
      </c>
      <c r="D14" s="90"/>
      <c r="E14" s="91"/>
      <c r="F14" s="21" t="s">
        <v>31</v>
      </c>
      <c r="G14" s="22">
        <v>27920</v>
      </c>
    </row>
    <row r="15" spans="1:14" ht="17.45" customHeight="1" x14ac:dyDescent="0.25">
      <c r="A15" s="1"/>
      <c r="B15" s="134" t="s">
        <v>66</v>
      </c>
      <c r="C15" s="89" t="s">
        <v>73</v>
      </c>
      <c r="D15" s="90"/>
      <c r="E15" s="91"/>
      <c r="F15" s="77"/>
      <c r="G15" s="78"/>
    </row>
    <row r="16" spans="1:14" ht="3" customHeight="1" x14ac:dyDescent="0.25">
      <c r="A16" s="1"/>
      <c r="B16" s="98"/>
      <c r="C16" s="99"/>
      <c r="D16" s="99"/>
      <c r="E16" s="99"/>
      <c r="F16" s="99"/>
      <c r="G16" s="100"/>
    </row>
    <row r="17" spans="1:11" ht="19.149999999999999" customHeight="1" thickBot="1" x14ac:dyDescent="0.3">
      <c r="A17" s="1"/>
      <c r="B17" s="108" t="s">
        <v>34</v>
      </c>
      <c r="C17" s="109"/>
      <c r="D17" s="109"/>
      <c r="E17" s="109"/>
      <c r="F17" s="109"/>
      <c r="G17" s="110"/>
    </row>
    <row r="18" spans="1:11" ht="23.25" customHeight="1" thickBot="1" x14ac:dyDescent="0.3">
      <c r="A18" s="1"/>
      <c r="B18" s="122" t="s">
        <v>35</v>
      </c>
      <c r="C18" s="123"/>
      <c r="D18" s="123"/>
      <c r="E18" s="124" t="s">
        <v>36</v>
      </c>
      <c r="F18" s="124"/>
      <c r="G18" s="125"/>
    </row>
    <row r="19" spans="1:11" ht="3" customHeight="1" thickBot="1" x14ac:dyDescent="0.3">
      <c r="A19" s="1"/>
      <c r="B19" s="62"/>
      <c r="C19" s="63"/>
      <c r="D19" s="63"/>
      <c r="E19" s="63"/>
      <c r="F19" s="63"/>
      <c r="G19" s="64"/>
    </row>
    <row r="20" spans="1:11" ht="15.75" thickBot="1" x14ac:dyDescent="0.3">
      <c r="A20" s="1"/>
      <c r="B20" s="49" t="s">
        <v>45</v>
      </c>
      <c r="C20" s="50"/>
      <c r="D20" s="50"/>
      <c r="E20" s="50"/>
      <c r="F20" s="50"/>
      <c r="G20" s="51"/>
      <c r="H20" t="s">
        <v>4</v>
      </c>
      <c r="J20" t="s">
        <v>0</v>
      </c>
    </row>
    <row r="21" spans="1:11" ht="3" customHeight="1" thickBot="1" x14ac:dyDescent="0.3">
      <c r="A21" s="1"/>
      <c r="B21" s="103"/>
      <c r="C21" s="104"/>
      <c r="D21" s="104"/>
      <c r="E21" s="104"/>
      <c r="F21" s="104"/>
      <c r="G21" s="105"/>
    </row>
    <row r="22" spans="1:11" ht="26.45" customHeight="1" x14ac:dyDescent="0.25">
      <c r="A22" s="1"/>
      <c r="B22" s="16" t="s">
        <v>44</v>
      </c>
      <c r="C22" s="10">
        <v>207000</v>
      </c>
      <c r="D22" s="71"/>
      <c r="E22" s="29" t="s">
        <v>46</v>
      </c>
      <c r="F22" s="106" t="s">
        <v>94</v>
      </c>
      <c r="G22" s="107"/>
    </row>
    <row r="23" spans="1:11" ht="15" customHeight="1" x14ac:dyDescent="0.25">
      <c r="A23" s="1"/>
      <c r="B23" s="17" t="s">
        <v>38</v>
      </c>
      <c r="C23" s="6">
        <v>165600</v>
      </c>
      <c r="D23" s="71"/>
      <c r="E23" s="7" t="s">
        <v>49</v>
      </c>
      <c r="F23" s="101">
        <f>C23*100/C22</f>
        <v>80</v>
      </c>
      <c r="G23" s="102"/>
      <c r="H23" t="s">
        <v>3</v>
      </c>
      <c r="J23" t="s">
        <v>1</v>
      </c>
    </row>
    <row r="24" spans="1:11" ht="15" customHeight="1" x14ac:dyDescent="0.25">
      <c r="A24" s="1"/>
      <c r="B24" s="4" t="s">
        <v>39</v>
      </c>
      <c r="C24" s="6">
        <v>2033</v>
      </c>
      <c r="D24" s="71"/>
      <c r="E24" s="5" t="s">
        <v>41</v>
      </c>
      <c r="F24" s="37">
        <v>372</v>
      </c>
      <c r="G24" s="18" t="s">
        <v>47</v>
      </c>
      <c r="J24" t="s">
        <v>2</v>
      </c>
    </row>
    <row r="25" spans="1:11" ht="15" customHeight="1" x14ac:dyDescent="0.25">
      <c r="A25" s="1"/>
      <c r="B25" s="4" t="s">
        <v>40</v>
      </c>
      <c r="C25" s="6">
        <v>0</v>
      </c>
      <c r="D25" s="71"/>
      <c r="E25" s="8" t="s">
        <v>42</v>
      </c>
      <c r="F25" s="43" t="s">
        <v>4</v>
      </c>
      <c r="G25" s="45"/>
    </row>
    <row r="26" spans="1:11" ht="16.149999999999999" customHeight="1" thickBot="1" x14ac:dyDescent="0.3">
      <c r="A26" s="1"/>
      <c r="B26" s="27" t="s">
        <v>43</v>
      </c>
      <c r="C26" s="24">
        <f>C23+C24+C25</f>
        <v>167633</v>
      </c>
      <c r="D26" s="71"/>
      <c r="E26" s="132" t="s">
        <v>48</v>
      </c>
      <c r="F26" s="73">
        <v>1040.81</v>
      </c>
      <c r="G26" s="74"/>
      <c r="H26" t="s">
        <v>11</v>
      </c>
      <c r="J26" t="s">
        <v>5</v>
      </c>
      <c r="K26" t="s">
        <v>7</v>
      </c>
    </row>
    <row r="27" spans="1:11" ht="4.5" customHeight="1" x14ac:dyDescent="0.25">
      <c r="A27" s="1"/>
      <c r="B27" s="67" t="s">
        <v>67</v>
      </c>
      <c r="C27" s="69">
        <v>1120.69</v>
      </c>
      <c r="D27" s="72"/>
      <c r="E27" s="129" t="s">
        <v>68</v>
      </c>
      <c r="F27" s="130">
        <f>C27*100/C30</f>
        <v>30.000107077272315</v>
      </c>
      <c r="G27" s="133"/>
    </row>
    <row r="28" spans="1:11" ht="11.25" customHeight="1" thickBot="1" x14ac:dyDescent="0.3">
      <c r="A28" s="1"/>
      <c r="B28" s="68"/>
      <c r="C28" s="70"/>
      <c r="D28" s="72"/>
      <c r="E28" s="129"/>
      <c r="F28" s="131"/>
      <c r="G28" s="133"/>
    </row>
    <row r="29" spans="1:11" ht="17.25" customHeight="1" x14ac:dyDescent="0.25">
      <c r="A29" s="1"/>
      <c r="B29" s="25" t="s">
        <v>54</v>
      </c>
      <c r="C29" s="26" t="s">
        <v>0</v>
      </c>
      <c r="D29" s="71"/>
      <c r="E29" s="23" t="s">
        <v>64</v>
      </c>
      <c r="F29" s="65">
        <v>5.64</v>
      </c>
      <c r="G29" s="66"/>
    </row>
    <row r="30" spans="1:11" x14ac:dyDescent="0.25">
      <c r="A30" s="1"/>
      <c r="B30" s="19" t="s">
        <v>55</v>
      </c>
      <c r="C30" s="20">
        <v>3735.62</v>
      </c>
      <c r="D30" s="28"/>
      <c r="E30" s="11" t="s">
        <v>53</v>
      </c>
      <c r="F30" s="57" t="s">
        <v>13</v>
      </c>
      <c r="G30" s="58"/>
    </row>
    <row r="31" spans="1:11" x14ac:dyDescent="0.25">
      <c r="A31" s="1"/>
      <c r="B31" s="2" t="s">
        <v>56</v>
      </c>
      <c r="C31" s="36" t="s">
        <v>17</v>
      </c>
      <c r="D31" s="28"/>
      <c r="E31" s="12" t="s">
        <v>57</v>
      </c>
      <c r="F31" s="57" t="s">
        <v>16</v>
      </c>
      <c r="G31" s="58"/>
    </row>
    <row r="32" spans="1:11" ht="4.1500000000000004" customHeight="1" x14ac:dyDescent="0.25">
      <c r="A32" s="1"/>
      <c r="B32" s="59"/>
      <c r="C32" s="53"/>
      <c r="D32" s="53"/>
      <c r="E32" s="53"/>
      <c r="F32" s="53"/>
      <c r="G32" s="54"/>
      <c r="H32" t="s">
        <v>9</v>
      </c>
      <c r="J32" t="s">
        <v>6</v>
      </c>
      <c r="K32" t="s">
        <v>8</v>
      </c>
    </row>
    <row r="33" spans="1:10" ht="19.899999999999999" customHeight="1" x14ac:dyDescent="0.25">
      <c r="A33" s="1"/>
      <c r="B33" s="4" t="s">
        <v>58</v>
      </c>
      <c r="C33" s="14">
        <f ca="1">TODAY()</f>
        <v>46140</v>
      </c>
      <c r="D33" s="15"/>
      <c r="E33" s="13" t="s">
        <v>59</v>
      </c>
      <c r="F33" s="60">
        <v>46113</v>
      </c>
      <c r="G33" s="61"/>
    </row>
    <row r="34" spans="1:10" ht="4.1500000000000004" customHeight="1" thickBot="1" x14ac:dyDescent="0.3">
      <c r="A34" s="1"/>
      <c r="B34" s="59"/>
      <c r="C34" s="53"/>
      <c r="D34" s="53"/>
      <c r="E34" s="53"/>
      <c r="F34" s="53"/>
      <c r="G34" s="54"/>
      <c r="H34" t="s">
        <v>10</v>
      </c>
    </row>
    <row r="35" spans="1:10" ht="15.75" thickBot="1" x14ac:dyDescent="0.3">
      <c r="A35" s="1"/>
      <c r="B35" s="49" t="s">
        <v>60</v>
      </c>
      <c r="C35" s="50"/>
      <c r="D35" s="50"/>
      <c r="E35" s="50"/>
      <c r="F35" s="50"/>
      <c r="G35" s="51"/>
      <c r="H35" t="s">
        <v>12</v>
      </c>
      <c r="J35" t="s">
        <v>5</v>
      </c>
    </row>
    <row r="36" spans="1:10" ht="33.75" customHeight="1" thickBot="1" x14ac:dyDescent="0.3">
      <c r="A36" s="1"/>
      <c r="B36" s="52"/>
      <c r="C36" s="53"/>
      <c r="D36" s="53"/>
      <c r="E36" s="53"/>
      <c r="F36" s="53"/>
      <c r="G36" s="54"/>
    </row>
    <row r="37" spans="1:10" ht="18.75" customHeight="1" thickBot="1" x14ac:dyDescent="0.3">
      <c r="A37" s="1"/>
      <c r="B37" s="49" t="s">
        <v>61</v>
      </c>
      <c r="C37" s="50"/>
      <c r="D37" s="50"/>
      <c r="E37" s="50"/>
      <c r="F37" s="50"/>
      <c r="G37" s="51"/>
    </row>
    <row r="38" spans="1:10" ht="18.75" customHeight="1" x14ac:dyDescent="0.25">
      <c r="A38" s="1"/>
      <c r="B38" s="55" t="s">
        <v>27</v>
      </c>
      <c r="C38" s="56"/>
      <c r="D38" s="43" t="s">
        <v>69</v>
      </c>
      <c r="E38" s="44"/>
      <c r="F38" s="44"/>
      <c r="G38" s="45"/>
    </row>
    <row r="39" spans="1:10" ht="15" customHeight="1" x14ac:dyDescent="0.25">
      <c r="A39" s="1"/>
      <c r="B39" s="41" t="s">
        <v>28</v>
      </c>
      <c r="C39" s="42"/>
      <c r="D39" s="46"/>
      <c r="E39" s="47"/>
      <c r="F39" s="47"/>
      <c r="G39" s="48"/>
    </row>
    <row r="40" spans="1:10" ht="15.75" customHeight="1" x14ac:dyDescent="0.25">
      <c r="A40" s="1"/>
      <c r="B40" s="41" t="s">
        <v>62</v>
      </c>
      <c r="C40" s="42"/>
      <c r="D40" s="46" t="s">
        <v>22</v>
      </c>
      <c r="E40" s="47"/>
      <c r="F40" s="47"/>
      <c r="G40" s="48"/>
    </row>
    <row r="41" spans="1:10" ht="17.25" customHeight="1" x14ac:dyDescent="0.25">
      <c r="A41" s="1"/>
      <c r="B41" s="41" t="s">
        <v>63</v>
      </c>
      <c r="C41" s="42"/>
      <c r="D41" s="46" t="s">
        <v>19</v>
      </c>
      <c r="E41" s="47"/>
      <c r="F41" s="47"/>
      <c r="G41" s="48"/>
    </row>
    <row r="42" spans="1:10" x14ac:dyDescent="0.25">
      <c r="A42" s="1"/>
      <c r="B42" s="114" t="s">
        <v>18</v>
      </c>
      <c r="C42" s="115"/>
      <c r="D42" s="116" t="s">
        <v>19</v>
      </c>
      <c r="E42" s="117"/>
      <c r="F42" s="117"/>
      <c r="G42" s="118"/>
    </row>
    <row r="43" spans="1:10" ht="16.5" thickBot="1" x14ac:dyDescent="0.3">
      <c r="B43" s="119" t="s">
        <v>97</v>
      </c>
      <c r="C43" s="120"/>
      <c r="D43" s="120"/>
      <c r="E43" s="120"/>
      <c r="F43" s="120"/>
      <c r="G43" s="121"/>
    </row>
  </sheetData>
  <sortState ref="H13:H21">
    <sortCondition ref="H13"/>
  </sortState>
  <mergeCells count="53">
    <mergeCell ref="B43:G43"/>
    <mergeCell ref="B16:G16"/>
    <mergeCell ref="F23:G23"/>
    <mergeCell ref="F25:G25"/>
    <mergeCell ref="B21:G21"/>
    <mergeCell ref="B20:G20"/>
    <mergeCell ref="F22:G22"/>
    <mergeCell ref="B17:G17"/>
    <mergeCell ref="B18:D18"/>
    <mergeCell ref="F13:G13"/>
    <mergeCell ref="F15:G15"/>
    <mergeCell ref="B2:G2"/>
    <mergeCell ref="B10:G10"/>
    <mergeCell ref="B11:G11"/>
    <mergeCell ref="E5:G5"/>
    <mergeCell ref="B5:D5"/>
    <mergeCell ref="C13:E13"/>
    <mergeCell ref="C15:E15"/>
    <mergeCell ref="C12:E12"/>
    <mergeCell ref="C14:E14"/>
    <mergeCell ref="B7:D7"/>
    <mergeCell ref="E7:G7"/>
    <mergeCell ref="E3:G3"/>
    <mergeCell ref="B9:D9"/>
    <mergeCell ref="B3:D3"/>
    <mergeCell ref="F33:G33"/>
    <mergeCell ref="B34:G34"/>
    <mergeCell ref="E18:G18"/>
    <mergeCell ref="B19:G19"/>
    <mergeCell ref="F30:G30"/>
    <mergeCell ref="F29:G29"/>
    <mergeCell ref="F27:G28"/>
    <mergeCell ref="E27:E28"/>
    <mergeCell ref="B27:B28"/>
    <mergeCell ref="C27:C28"/>
    <mergeCell ref="D22:D29"/>
    <mergeCell ref="F26:G26"/>
    <mergeCell ref="E9:G9"/>
    <mergeCell ref="B40:C40"/>
    <mergeCell ref="B41:C41"/>
    <mergeCell ref="B42:C42"/>
    <mergeCell ref="D38:G38"/>
    <mergeCell ref="D39:G39"/>
    <mergeCell ref="D40:G40"/>
    <mergeCell ref="D41:G41"/>
    <mergeCell ref="D42:G42"/>
    <mergeCell ref="B35:G35"/>
    <mergeCell ref="B36:G36"/>
    <mergeCell ref="B37:G37"/>
    <mergeCell ref="B38:C38"/>
    <mergeCell ref="B39:C39"/>
    <mergeCell ref="F31:G31"/>
    <mergeCell ref="B32:G32"/>
  </mergeCells>
  <dataValidations xWindow="446" yWindow="369" count="1">
    <dataValidation type="list" allowBlank="1" showInputMessage="1" showErrorMessage="1" sqref="C29">
      <formula1>RENDA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446" yWindow="369" count="8">
        <x14:dataValidation type="list" allowBlank="1" showInputMessage="1" showErrorMessage="1">
          <x14:formula1>
            <xm:f>Plan2!$D$6:$D$9</xm:f>
          </x14:formula1>
          <xm:sqref>D40:G42</xm:sqref>
        </x14:dataValidation>
        <x14:dataValidation type="list" allowBlank="1" showInputMessage="1" showErrorMessage="1">
          <x14:formula1>
            <xm:f>Plan2!$B$1:$B$6</xm:f>
          </x14:formula1>
          <xm:sqref>F30:G30</xm:sqref>
        </x14:dataValidation>
        <x14:dataValidation type="list" allowBlank="1" showInputMessage="1" showErrorMessage="1">
          <x14:formula1>
            <xm:f>Plan2!$B$10:$B$14</xm:f>
          </x14:formula1>
          <xm:sqref>E18:G18</xm:sqref>
        </x14:dataValidation>
        <x14:dataValidation type="list" allowBlank="1" showInputMessage="1" showErrorMessage="1">
          <x14:formula1>
            <xm:f>Plan2!$C$1:$C$6</xm:f>
          </x14:formula1>
          <xm:sqref>F22:G22</xm:sqref>
        </x14:dataValidation>
        <x14:dataValidation type="list" allowBlank="1" showInputMessage="1" showErrorMessage="1">
          <x14:formula1>
            <xm:f>Plan2!$D$11:$D$12</xm:f>
          </x14:formula1>
          <xm:sqref>F25:G25</xm:sqref>
        </x14:dataValidation>
        <x14:dataValidation type="list" allowBlank="1" showInputMessage="1" showErrorMessage="1">
          <x14:formula1>
            <xm:f>Plan2!$C$15:$C$17</xm:f>
          </x14:formula1>
          <xm:sqref>E9:G9</xm:sqref>
        </x14:dataValidation>
        <x14:dataValidation type="list" allowBlank="1" showInputMessage="1" showErrorMessage="1">
          <x14:formula1>
            <xm:f>Plan2!$D$1:$D$2</xm:f>
          </x14:formula1>
          <xm:sqref>F31:G31 C31</xm:sqref>
        </x14:dataValidation>
        <x14:dataValidation type="list" allowBlank="1" showInputMessage="1" showErrorMessage="1">
          <x14:formula1>
            <xm:f>Plan2!$B$19:$B$28</xm:f>
          </x14:formula1>
          <xm:sqref>F7:G8 E7:E8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D28"/>
  <sheetViews>
    <sheetView workbookViewId="0">
      <selection activeCell="C13" sqref="C13"/>
    </sheetView>
  </sheetViews>
  <sheetFormatPr defaultRowHeight="15" x14ac:dyDescent="0.25"/>
  <cols>
    <col min="1" max="1" width="11" customWidth="1"/>
    <col min="2" max="2" width="34.7109375" bestFit="1" customWidth="1"/>
    <col min="3" max="3" width="34.140625" customWidth="1"/>
    <col min="4" max="4" width="17.140625" bestFit="1" customWidth="1"/>
  </cols>
  <sheetData>
    <row r="1" spans="1:4" x14ac:dyDescent="0.25">
      <c r="A1" s="9" t="s">
        <v>0</v>
      </c>
      <c r="B1" s="9" t="s">
        <v>13</v>
      </c>
      <c r="C1" s="9" t="s">
        <v>93</v>
      </c>
      <c r="D1" s="9" t="s">
        <v>16</v>
      </c>
    </row>
    <row r="2" spans="1:4" x14ac:dyDescent="0.25">
      <c r="A2" s="9" t="s">
        <v>1</v>
      </c>
      <c r="B2" s="9" t="s">
        <v>14</v>
      </c>
      <c r="C2" s="9" t="s">
        <v>94</v>
      </c>
      <c r="D2" s="9" t="s">
        <v>17</v>
      </c>
    </row>
    <row r="3" spans="1:4" x14ac:dyDescent="0.25">
      <c r="A3" s="9" t="s">
        <v>2</v>
      </c>
      <c r="B3" s="9" t="s">
        <v>23</v>
      </c>
      <c r="C3" s="9" t="s">
        <v>96</v>
      </c>
      <c r="D3" s="9"/>
    </row>
    <row r="4" spans="1:4" x14ac:dyDescent="0.25">
      <c r="A4" s="9"/>
      <c r="B4" s="9"/>
      <c r="C4" s="9" t="s">
        <v>95</v>
      </c>
      <c r="D4" s="9"/>
    </row>
    <row r="5" spans="1:4" x14ac:dyDescent="0.25">
      <c r="A5" s="9"/>
      <c r="B5" s="9" t="s">
        <v>24</v>
      </c>
      <c r="C5" s="9" t="s">
        <v>15</v>
      </c>
      <c r="D5" s="9"/>
    </row>
    <row r="6" spans="1:4" x14ac:dyDescent="0.25">
      <c r="A6" s="9"/>
      <c r="B6" s="9" t="s">
        <v>25</v>
      </c>
      <c r="C6" s="9" t="s">
        <v>26</v>
      </c>
      <c r="D6" s="9" t="s">
        <v>19</v>
      </c>
    </row>
    <row r="7" spans="1:4" x14ac:dyDescent="0.25">
      <c r="A7" s="9"/>
      <c r="B7" s="9"/>
      <c r="C7" s="9"/>
      <c r="D7" s="9" t="s">
        <v>20</v>
      </c>
    </row>
    <row r="8" spans="1:4" x14ac:dyDescent="0.25">
      <c r="A8" s="9"/>
      <c r="B8" s="9"/>
      <c r="C8" s="9"/>
      <c r="D8" s="9" t="s">
        <v>21</v>
      </c>
    </row>
    <row r="9" spans="1:4" x14ac:dyDescent="0.25">
      <c r="A9" s="9"/>
      <c r="B9" s="9"/>
      <c r="C9" s="9"/>
      <c r="D9" s="9" t="s">
        <v>22</v>
      </c>
    </row>
    <row r="10" spans="1:4" ht="15.75" x14ac:dyDescent="0.25">
      <c r="A10" s="9"/>
      <c r="B10" s="126" t="s">
        <v>36</v>
      </c>
      <c r="C10" s="9"/>
      <c r="D10" s="9"/>
    </row>
    <row r="11" spans="1:4" ht="15.75" x14ac:dyDescent="0.25">
      <c r="A11" s="9"/>
      <c r="B11" s="127" t="s">
        <v>37</v>
      </c>
      <c r="C11" s="9"/>
      <c r="D11" s="9" t="s">
        <v>3</v>
      </c>
    </row>
    <row r="12" spans="1:4" x14ac:dyDescent="0.25">
      <c r="A12" s="9"/>
      <c r="B12" s="128" t="s">
        <v>91</v>
      </c>
      <c r="C12" s="9"/>
      <c r="D12" s="9" t="s">
        <v>4</v>
      </c>
    </row>
    <row r="13" spans="1:4" x14ac:dyDescent="0.25">
      <c r="A13" s="9"/>
      <c r="B13" s="9" t="s">
        <v>89</v>
      </c>
      <c r="C13" s="9"/>
      <c r="D13" s="9"/>
    </row>
    <row r="14" spans="1:4" x14ac:dyDescent="0.25">
      <c r="B14" s="9" t="s">
        <v>90</v>
      </c>
    </row>
    <row r="15" spans="1:4" x14ac:dyDescent="0.25">
      <c r="C15" t="s">
        <v>50</v>
      </c>
    </row>
    <row r="16" spans="1:4" x14ac:dyDescent="0.25">
      <c r="C16" t="s">
        <v>51</v>
      </c>
    </row>
    <row r="17" spans="2:3" x14ac:dyDescent="0.25">
      <c r="C17" t="s">
        <v>52</v>
      </c>
    </row>
    <row r="19" spans="2:3" x14ac:dyDescent="0.25">
      <c r="B19" t="s">
        <v>78</v>
      </c>
    </row>
    <row r="20" spans="2:3" x14ac:dyDescent="0.25">
      <c r="B20" t="s">
        <v>77</v>
      </c>
    </row>
    <row r="21" spans="2:3" x14ac:dyDescent="0.25">
      <c r="B21" t="s">
        <v>74</v>
      </c>
    </row>
    <row r="22" spans="2:3" x14ac:dyDescent="0.25">
      <c r="B22" t="s">
        <v>75</v>
      </c>
    </row>
    <row r="23" spans="2:3" x14ac:dyDescent="0.25">
      <c r="B23" t="s">
        <v>76</v>
      </c>
    </row>
    <row r="24" spans="2:3" x14ac:dyDescent="0.25">
      <c r="B24" t="s">
        <v>79</v>
      </c>
    </row>
    <row r="25" spans="2:3" x14ac:dyDescent="0.25">
      <c r="B25" t="s">
        <v>80</v>
      </c>
    </row>
    <row r="26" spans="2:3" x14ac:dyDescent="0.25">
      <c r="B26" t="s">
        <v>81</v>
      </c>
    </row>
    <row r="27" spans="2:3" x14ac:dyDescent="0.25">
      <c r="B27" t="s">
        <v>82</v>
      </c>
    </row>
    <row r="28" spans="2:3" x14ac:dyDescent="0.25">
      <c r="B28" t="s">
        <v>83</v>
      </c>
    </row>
  </sheetData>
  <sortState ref="A8:A9">
    <sortCondition ref="A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Plan1</vt:lpstr>
      <vt:lpstr>Plan2</vt:lpstr>
      <vt:lpstr>condi</vt:lpstr>
      <vt:lpstr>depen</vt:lpstr>
      <vt:lpstr>DEPENDENTE</vt:lpstr>
      <vt:lpstr>enquadram</vt:lpstr>
      <vt:lpstr>redutor</vt:lpstr>
      <vt:lpstr>RENDA</vt:lpstr>
      <vt:lpstr>renda1</vt:lpstr>
      <vt:lpstr>Tabela</vt:lpstr>
      <vt:lpstr>TABELA2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Obra</dc:creator>
  <cp:lastModifiedBy>Maura Silva</cp:lastModifiedBy>
  <cp:lastPrinted>2026-04-28T22:59:11Z</cp:lastPrinted>
  <dcterms:created xsi:type="dcterms:W3CDTF">2019-02-01T14:18:34Z</dcterms:created>
  <dcterms:modified xsi:type="dcterms:W3CDTF">2026-04-29T00:54:14Z</dcterms:modified>
</cp:coreProperties>
</file>